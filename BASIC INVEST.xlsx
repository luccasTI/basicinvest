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Cursos\Excel + IA Santander - DIO\PROJETO 1\"/>
    </mc:Choice>
  </mc:AlternateContent>
  <xr:revisionPtr revIDLastSave="0" documentId="13_ncr:1_{8B71A666-B15E-44E7-A7CD-7CA2313D390B}" xr6:coauthVersionLast="47" xr6:coauthVersionMax="47" xr10:uidLastSave="{00000000-0000-0000-0000-000000000000}"/>
  <bookViews>
    <workbookView xWindow="-120" yWindow="-120" windowWidth="29040" windowHeight="16440" tabRatio="525" xr2:uid="{E705030E-519B-4704-982C-DDE7123EED7B}"/>
  </bookViews>
  <sheets>
    <sheet name="PLANILHA DE INVESTIMENTO" sheetId="1" r:id="rId1"/>
    <sheet name="TABELA TIPOS" sheetId="2" r:id="rId2"/>
  </sheets>
  <definedNames>
    <definedName name="aporte">'PLANILHA DE INVESTIMENTO'!$D$16</definedName>
    <definedName name="invest_carteira">'PLANILHA DE INVESTIMENTO'!$D$12</definedName>
    <definedName name="invest_periodo">'PLANILHA DE INVESTIMENTO'!$D$17</definedName>
    <definedName name="patrimonio_acumulado">'PLANILHA DE INVESTIMENTO'!$D$19</definedName>
    <definedName name="perfil_investidor">'PLANILHA DE INVESTIMENTO'!$C$30</definedName>
    <definedName name="salario">'PLANILHA DE INVESTIMENTO'!$D$11</definedName>
    <definedName name="sug_investimento">'PLANILHA DE INVESTIMENTO'!$D$13</definedName>
    <definedName name="taxa_mensal">'PLANILHA DE INVESTIMENTO'!$D$18</definedName>
    <definedName name="valor_perfil">'PLANILHA DE INVESTIMENTO'!$C$31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C25" i="1"/>
  <c r="C26" i="1"/>
  <c r="D26" i="1" s="1"/>
  <c r="C27" i="1"/>
  <c r="D27" i="1" s="1"/>
  <c r="D24" i="1"/>
  <c r="C23" i="1"/>
  <c r="D23" i="1" s="1"/>
  <c r="A11" i="2"/>
  <c r="A12" i="2"/>
  <c r="A13" i="2"/>
  <c r="A14" i="2"/>
  <c r="A15" i="2"/>
  <c r="A16" i="2"/>
  <c r="A17" i="2"/>
  <c r="A18" i="2"/>
  <c r="A19" i="2"/>
  <c r="A20" i="2"/>
  <c r="A21" i="2"/>
  <c r="A22" i="2"/>
  <c r="A8" i="2"/>
  <c r="A6" i="2"/>
  <c r="A7" i="2"/>
  <c r="A9" i="2"/>
  <c r="A10" i="2"/>
  <c r="C36" i="1" s="1"/>
  <c r="A5" i="2"/>
  <c r="C31" i="1"/>
  <c r="D19" i="1"/>
  <c r="D20" i="1" s="1"/>
  <c r="D13" i="1"/>
  <c r="D25" i="1"/>
  <c r="D36" i="1" l="1"/>
  <c r="H6" i="2"/>
  <c r="C38" i="1"/>
  <c r="D38" i="1" s="1"/>
  <c r="C35" i="1"/>
  <c r="D35" i="1" s="1"/>
  <c r="C37" i="1"/>
  <c r="D37" i="1" s="1"/>
  <c r="C39" i="1"/>
  <c r="D39" i="1" s="1"/>
  <c r="C40" i="1"/>
  <c r="D40" i="1" s="1"/>
  <c r="D41" i="1" l="1"/>
  <c r="C41" i="1"/>
</calcChain>
</file>

<file path=xl/sharedStrings.xml><?xml version="1.0" encoding="utf-8"?>
<sst xmlns="http://schemas.openxmlformats.org/spreadsheetml/2006/main" count="72" uniqueCount="35">
  <si>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</si>
  <si>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</si>
  <si>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</si>
  <si>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</si>
  <si>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</si>
  <si>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</si>
  <si>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</si>
  <si>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</si>
  <si>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</si>
  <si>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</si>
  <si>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</si>
  <si>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</si>
  <si>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CONFIGURAÇÕES</t>
  </si>
  <si>
    <t>SALÁRIO</t>
  </si>
  <si>
    <t>RENDIMENTO CARTEIRA</t>
  </si>
  <si>
    <t>RESULTADO</t>
  </si>
  <si>
    <t>DIVIDENDO</t>
  </si>
  <si>
    <t>PERFIL</t>
  </si>
  <si>
    <t>MODERADO</t>
  </si>
  <si>
    <t>VALOR A SER INVESTIDO NO MÊS</t>
  </si>
  <si>
    <t>TIPO</t>
  </si>
  <si>
    <t>PERCENTUAL SUGERIDO</t>
  </si>
  <si>
    <t>VALOR</t>
  </si>
  <si>
    <t>PAPEL</t>
  </si>
  <si>
    <t>TIJOLO</t>
  </si>
  <si>
    <t>HÍBRIDO</t>
  </si>
  <si>
    <t>FOFs</t>
  </si>
  <si>
    <t>DESENVOLVIMENTO</t>
  </si>
  <si>
    <t>HOTELARIAS</t>
  </si>
  <si>
    <t>CHAVE</t>
  </si>
  <si>
    <t>%</t>
  </si>
  <si>
    <t>CONSERVADOR</t>
  </si>
  <si>
    <t>AGRESSIVO</t>
  </si>
  <si>
    <t>AGRESSIVO-PAPEL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</si>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</sst>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396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99969"/>
        <bgColor indexed="64"/>
      </patternFill>
    </fill>
    <fill>
      <patternFill patternType="solid">
        <fgColor rgb="FFFFEB9C"/>
      </patternFill>
    </fill>
    <fill>
      <patternFill patternType="solid">
        <fgColor rgb="FFEB7197"/>
        <bgColor indexed="64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/>
      <bottom style="medium">
        <color theme="2" tint="-9.9948118533890809E-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53">
    <xf numFmtId="0" fontId="0" fillId="0" borderId="0" xfId="0"/>
    <xf numFmtId="0" fontId="4" fillId="0" borderId="0" xfId="0" applyFont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2" borderId="15" xfId="0" applyFont="1" applyFill="1" applyBorder="1"/>
    <xf numFmtId="8" fontId="0" fillId="3" borderId="11" xfId="0" applyNumberFormat="1" applyFill="1" applyBorder="1" applyAlignment="1">
      <alignment horizontal="center"/>
    </xf>
    <xf numFmtId="8" fontId="0" fillId="3" borderId="12" xfId="0" applyNumberFormat="1" applyFill="1" applyBorder="1" applyAlignment="1">
      <alignment horizontal="center"/>
    </xf>
    <xf numFmtId="8" fontId="0" fillId="3" borderId="2" xfId="0" applyNumberFormat="1" applyFill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8" fontId="0" fillId="3" borderId="4" xfId="0" applyNumberFormat="1" applyFill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2" fillId="2" borderId="15" xfId="0" applyFont="1" applyFill="1" applyBorder="1"/>
    <xf numFmtId="165" fontId="1" fillId="0" borderId="18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8" fontId="1" fillId="3" borderId="21" xfId="0" applyNumberFormat="1" applyFont="1" applyFill="1" applyBorder="1" applyAlignment="1">
      <alignment horizontal="center"/>
    </xf>
    <xf numFmtId="8" fontId="1" fillId="3" borderId="24" xfId="0" applyNumberFormat="1" applyFont="1" applyFill="1" applyBorder="1" applyAlignment="1">
      <alignment horizontal="center"/>
    </xf>
    <xf numFmtId="0" fontId="6" fillId="4" borderId="27" xfId="0" applyFont="1" applyFill="1" applyBorder="1"/>
    <xf numFmtId="165" fontId="0" fillId="0" borderId="7" xfId="1" applyNumberFormat="1" applyFont="1" applyBorder="1" applyAlignment="1">
      <alignment horizontal="center"/>
    </xf>
    <xf numFmtId="0" fontId="7" fillId="3" borderId="10" xfId="0" applyFont="1" applyFill="1" applyBorder="1" applyAlignment="1">
      <alignment horizontal="left" indent="2"/>
    </xf>
    <xf numFmtId="0" fontId="7" fillId="3" borderId="1" xfId="0" applyFont="1" applyFill="1" applyBorder="1" applyAlignment="1">
      <alignment horizontal="left" indent="2"/>
    </xf>
    <xf numFmtId="0" fontId="7" fillId="3" borderId="3" xfId="0" applyFont="1" applyFill="1" applyBorder="1" applyAlignment="1">
      <alignment horizontal="left" indent="2"/>
    </xf>
    <xf numFmtId="0" fontId="7" fillId="0" borderId="6" xfId="0" applyFont="1" applyBorder="1" applyAlignment="1">
      <alignment horizontal="left" indent="2"/>
    </xf>
    <xf numFmtId="0" fontId="7" fillId="0" borderId="28" xfId="0" applyFont="1" applyBorder="1" applyAlignment="1">
      <alignment horizontal="left" indent="2"/>
    </xf>
    <xf numFmtId="0" fontId="7" fillId="0" borderId="8" xfId="0" applyFont="1" applyBorder="1" applyAlignment="1">
      <alignment horizontal="left" indent="2"/>
    </xf>
    <xf numFmtId="0" fontId="7" fillId="0" borderId="29" xfId="0" applyFont="1" applyBorder="1" applyAlignment="1">
      <alignment horizontal="left" indent="2"/>
    </xf>
    <xf numFmtId="0" fontId="6" fillId="4" borderId="25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7" fillId="0" borderId="16" xfId="0" applyFont="1" applyBorder="1" applyAlignment="1">
      <alignment horizontal="left" indent="2"/>
    </xf>
    <xf numFmtId="0" fontId="7" fillId="0" borderId="17" xfId="0" applyFont="1" applyBorder="1" applyAlignment="1">
      <alignment horizontal="left" indent="2"/>
    </xf>
    <xf numFmtId="0" fontId="7" fillId="0" borderId="19" xfId="0" applyFont="1" applyBorder="1" applyAlignment="1">
      <alignment horizontal="left" indent="2"/>
    </xf>
    <xf numFmtId="0" fontId="7" fillId="0" borderId="20" xfId="0" applyFont="1" applyBorder="1" applyAlignment="1">
      <alignment horizontal="left" indent="2"/>
    </xf>
    <xf numFmtId="0" fontId="8" fillId="3" borderId="19" xfId="0" applyFont="1" applyFill="1" applyBorder="1" applyAlignment="1">
      <alignment horizontal="left" indent="2"/>
    </xf>
    <xf numFmtId="0" fontId="8" fillId="3" borderId="20" xfId="0" applyFont="1" applyFill="1" applyBorder="1" applyAlignment="1">
      <alignment horizontal="left" indent="2"/>
    </xf>
    <xf numFmtId="0" fontId="8" fillId="3" borderId="22" xfId="0" applyFont="1" applyFill="1" applyBorder="1" applyAlignment="1">
      <alignment horizontal="left" indent="2"/>
    </xf>
    <xf numFmtId="0" fontId="8" fillId="3" borderId="23" xfId="0" applyFont="1" applyFill="1" applyBorder="1" applyAlignment="1">
      <alignment horizontal="left" indent="2"/>
    </xf>
    <xf numFmtId="0" fontId="7" fillId="0" borderId="0" xfId="0" applyFont="1" applyFill="1" applyBorder="1" applyAlignment="1">
      <alignment horizontal="left" indent="2"/>
    </xf>
    <xf numFmtId="8" fontId="0" fillId="0" borderId="0" xfId="0" applyNumberFormat="1" applyFill="1" applyBorder="1" applyAlignment="1">
      <alignment horizontal="center"/>
    </xf>
    <xf numFmtId="0" fontId="7" fillId="6" borderId="0" xfId="0" applyFont="1" applyFill="1" applyBorder="1" applyAlignment="1">
      <alignment horizontal="left" indent="2"/>
    </xf>
    <xf numFmtId="8" fontId="0" fillId="6" borderId="0" xfId="0" applyNumberFormat="1" applyFill="1" applyBorder="1" applyAlignment="1">
      <alignment horizontal="center"/>
    </xf>
    <xf numFmtId="0" fontId="8" fillId="7" borderId="0" xfId="0" applyFont="1" applyFill="1" applyBorder="1" applyAlignment="1">
      <alignment horizontal="left" indent="2"/>
    </xf>
    <xf numFmtId="8" fontId="1" fillId="7" borderId="0" xfId="0" applyNumberFormat="1" applyFon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1" fillId="7" borderId="0" xfId="0" applyNumberFormat="1" applyFont="1" applyFill="1" applyBorder="1" applyAlignment="1">
      <alignment horizontal="center"/>
    </xf>
    <xf numFmtId="0" fontId="0" fillId="0" borderId="30" xfId="0" applyBorder="1"/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9" fontId="0" fillId="0" borderId="30" xfId="0" applyNumberFormat="1" applyBorder="1" applyAlignment="1">
      <alignment horizontal="center"/>
    </xf>
    <xf numFmtId="0" fontId="9" fillId="5" borderId="0" xfId="3"/>
    <xf numFmtId="9" fontId="9" fillId="5" borderId="0" xfId="2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B7197"/>
      <color rgb="FF399969"/>
      <color rgb="FF993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'PLANILHA DE INVESTIMENTO'!$B$35:$B$40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'PLANILHA DE INVESTIMENTO'!$C$35:$C$40</c:f>
              <c:numCache>
                <c:formatCode>0%</c:formatCode>
                <c:ptCount val="6"/>
                <c:pt idx="0">
                  <c:v>0.3</c:v>
                </c:pt>
                <c:pt idx="1">
                  <c:v>0.4</c:v>
                </c:pt>
                <c:pt idx="2">
                  <c:v>0.1</c:v>
                </c:pt>
                <c:pt idx="3">
                  <c:v>0.05</c:v>
                </c:pt>
                <c:pt idx="4">
                  <c:v>0.15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1-4278-ADDD-E5F733FA1F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104776</xdr:colOff>
      <xdr:row>0</xdr:row>
      <xdr:rowOff>133350</xdr:rowOff>
    </xdr:from>
    <xdr:to>
      <xdr:col>3</xdr:col>
      <xdr:colOff>771525</xdr:colOff>
      <xdr:row>8</xdr:row>
      <xdr:rowOff>39471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B769302-4314-AAF8-C7DF-C6A11E834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133350"/>
          <a:ext cx="7229474" cy="1430121"/>
        </a:xfrm>
        <a:prstGeom prst="rect">
          <a:avLst/>
        </a:prstGeom>
      </xdr:spPr>
    </xdr:pic>
    <xdr:clientData/>
  </xdr:twoCellAnchor>
  <xdr:twoCellAnchor>
    <xdr:from>
      <xdr:col>1</xdr:col>
      <xdr:colOff>1381125</xdr:colOff>
      <xdr:row>41</xdr:row>
      <xdr:rowOff>76201</xdr:rowOff>
    </xdr:from>
    <xdr:to>
      <xdr:col>2</xdr:col>
      <xdr:colOff>2266950</xdr:colOff>
      <xdr:row>56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37A34F-F427-6745-78AC-90667799F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651F-CB7B-4F89-BC60-87590B78286D}">
  <dimension ref="A1:J56"/>
  <sheetViews>
    <sheetView showGridLines="0" tabSelected="1" topLeftCell="A19" workbookViewId="0">
      <selection activeCell="C48" sqref="C48"/>
    </sheetView>
  </sheetViews>
  <sheetFormatPr defaultColWidth="0" defaultRowHeight="15" zeroHeight="1" x14ac:dyDescent="0.25"/>
  <cols>
    <col min="1" max="1" width="1.7109375" customWidth="1"/>
    <col min="2" max="2" width="51.7109375" customWidth="1"/>
    <col min="3" max="3" width="45" customWidth="1"/>
    <col min="4" max="4" width="11.7109375" bestFit="1" customWidth="1"/>
    <col min="5" max="5" width="3" customWidth="1"/>
    <col min="6" max="6" width="2.7109375" hidden="1" customWidth="1"/>
    <col min="7" max="7" width="4.28515625" hidden="1" customWidth="1"/>
    <col min="8" max="8" width="9.140625" hidden="1" customWidth="1"/>
    <col min="9" max="9" width="27.42578125" hidden="1" customWidth="1"/>
    <col min="10" max="10" width="12.140625" hidden="1" customWidth="1"/>
    <col min="11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ht="15.75" thickBot="1" x14ac:dyDescent="0.3"/>
    <row r="10" spans="2:4" ht="18.75" x14ac:dyDescent="0.3">
      <c r="B10" s="27" t="s">
        <v>12</v>
      </c>
      <c r="C10" s="28"/>
      <c r="D10" s="18"/>
    </row>
    <row r="11" spans="2:4" ht="15.75" x14ac:dyDescent="0.25">
      <c r="B11" s="23" t="s">
        <v>13</v>
      </c>
      <c r="C11" s="24"/>
      <c r="D11" s="19">
        <v>2000</v>
      </c>
    </row>
    <row r="12" spans="2:4" ht="15.75" x14ac:dyDescent="0.25">
      <c r="B12" s="23" t="s">
        <v>14</v>
      </c>
      <c r="C12" s="24"/>
      <c r="D12" s="10">
        <v>8.8999999999999999E-3</v>
      </c>
    </row>
    <row r="13" spans="2:4" ht="16.5" thickBot="1" x14ac:dyDescent="0.3">
      <c r="B13" s="25" t="s">
        <v>34</v>
      </c>
      <c r="C13" s="26"/>
      <c r="D13" s="11">
        <f>D11*30%</f>
        <v>600</v>
      </c>
    </row>
    <row r="14" spans="2:4" ht="15.75" thickBot="1" x14ac:dyDescent="0.3"/>
    <row r="15" spans="2:4" ht="24" thickBot="1" x14ac:dyDescent="0.4">
      <c r="B15" s="29" t="s">
        <v>5</v>
      </c>
      <c r="C15" s="30"/>
      <c r="D15" s="12"/>
    </row>
    <row r="16" spans="2:4" ht="15.75" customHeight="1" x14ac:dyDescent="0.25">
      <c r="B16" s="31" t="s">
        <v>0</v>
      </c>
      <c r="C16" s="32"/>
      <c r="D16" s="13">
        <v>560</v>
      </c>
    </row>
    <row r="17" spans="1:4" ht="15.6" customHeight="1" x14ac:dyDescent="0.25">
      <c r="B17" s="33" t="s">
        <v>1</v>
      </c>
      <c r="C17" s="34"/>
      <c r="D17" s="14">
        <v>5</v>
      </c>
    </row>
    <row r="18" spans="1:4" ht="15" customHeight="1" x14ac:dyDescent="0.25">
      <c r="B18" s="33" t="s">
        <v>2</v>
      </c>
      <c r="C18" s="34"/>
      <c r="D18" s="15">
        <v>1.0789999999999999E-2</v>
      </c>
    </row>
    <row r="19" spans="1:4" ht="15" customHeight="1" x14ac:dyDescent="0.25">
      <c r="B19" s="35" t="s">
        <v>3</v>
      </c>
      <c r="C19" s="36"/>
      <c r="D19" s="16">
        <f>FV(taxa_mensal,invest_periodo*12,aporte*-1)</f>
        <v>46915.071839153083</v>
      </c>
    </row>
    <row r="20" spans="1:4" ht="15" customHeight="1" thickBot="1" x14ac:dyDescent="0.3">
      <c r="B20" s="37" t="s">
        <v>4</v>
      </c>
      <c r="C20" s="38"/>
      <c r="D20" s="17">
        <f>patrimonio_acumulado*invest_carteira</f>
        <v>417.54413936846242</v>
      </c>
    </row>
    <row r="21" spans="1:4" ht="15" customHeight="1" thickBot="1" x14ac:dyDescent="0.3"/>
    <row r="22" spans="1:4" ht="24" customHeight="1" thickBot="1" x14ac:dyDescent="0.4">
      <c r="B22" s="2" t="s">
        <v>11</v>
      </c>
      <c r="C22" s="3" t="s">
        <v>15</v>
      </c>
      <c r="D22" s="4" t="s">
        <v>16</v>
      </c>
    </row>
    <row r="23" spans="1:4" ht="16.5" thickBot="1" x14ac:dyDescent="0.3">
      <c r="A23" s="1">
        <v>2</v>
      </c>
      <c r="B23" s="20" t="s">
        <v>6</v>
      </c>
      <c r="C23" s="5">
        <f>FV($D$18,$A23*12,$D$16*-1)</f>
        <v>15247.471286681321</v>
      </c>
      <c r="D23" s="6">
        <f>$C23*$D$12</f>
        <v>135.70249445146376</v>
      </c>
    </row>
    <row r="24" spans="1:4" ht="16.5" thickBot="1" x14ac:dyDescent="0.3">
      <c r="A24" s="1">
        <v>5</v>
      </c>
      <c r="B24" s="21" t="s">
        <v>7</v>
      </c>
      <c r="C24" s="5">
        <f t="shared" ref="C24:C27" si="0">FV($D$18,$A24*12,$D$16*-1)</f>
        <v>46915.071839153083</v>
      </c>
      <c r="D24" s="7">
        <f>$C24*$D$12</f>
        <v>417.54413936846242</v>
      </c>
    </row>
    <row r="25" spans="1:4" ht="16.5" thickBot="1" x14ac:dyDescent="0.3">
      <c r="A25" s="1">
        <v>10</v>
      </c>
      <c r="B25" s="21" t="s">
        <v>8</v>
      </c>
      <c r="C25" s="5">
        <f t="shared" si="0"/>
        <v>136239.15901689642</v>
      </c>
      <c r="D25" s="7">
        <f>$C25*$D$12</f>
        <v>1212.5285152503782</v>
      </c>
    </row>
    <row r="26" spans="1:4" ht="16.5" thickBot="1" x14ac:dyDescent="0.3">
      <c r="A26" s="1">
        <v>20</v>
      </c>
      <c r="B26" s="21" t="s">
        <v>9</v>
      </c>
      <c r="C26" s="5">
        <f t="shared" si="0"/>
        <v>630111.10405436507</v>
      </c>
      <c r="D26" s="7">
        <f>$C26*$D$12</f>
        <v>5607.9888260838488</v>
      </c>
    </row>
    <row r="27" spans="1:4" ht="16.5" thickBot="1" x14ac:dyDescent="0.3">
      <c r="A27" s="1">
        <v>30</v>
      </c>
      <c r="B27" s="22" t="s">
        <v>10</v>
      </c>
      <c r="C27" s="8">
        <f t="shared" si="0"/>
        <v>2420415.0068026399</v>
      </c>
      <c r="D27" s="9">
        <f>$C27*$D$12</f>
        <v>21541.693560543496</v>
      </c>
    </row>
    <row r="28" spans="1:4" ht="15.75" x14ac:dyDescent="0.25">
      <c r="A28" s="1"/>
      <c r="B28" s="39"/>
      <c r="C28" s="40"/>
      <c r="D28" s="40"/>
    </row>
    <row r="29" spans="1:4" ht="15.75" x14ac:dyDescent="0.25">
      <c r="A29" s="1"/>
      <c r="B29" s="39"/>
      <c r="C29" s="40"/>
      <c r="D29" s="40"/>
    </row>
    <row r="30" spans="1:4" ht="15.75" x14ac:dyDescent="0.25">
      <c r="A30" s="1"/>
      <c r="B30" s="41" t="s">
        <v>17</v>
      </c>
      <c r="C30" s="42" t="s">
        <v>18</v>
      </c>
      <c r="D30" s="42"/>
    </row>
    <row r="31" spans="1:4" ht="15.75" x14ac:dyDescent="0.25">
      <c r="A31" s="1"/>
      <c r="B31" s="43" t="s">
        <v>19</v>
      </c>
      <c r="C31" s="44">
        <f>aporte</f>
        <v>560</v>
      </c>
      <c r="D31" s="44"/>
    </row>
    <row r="32" spans="1:4" ht="15.75" x14ac:dyDescent="0.25">
      <c r="A32" s="1"/>
      <c r="B32" s="39"/>
      <c r="C32" s="40"/>
      <c r="D32" s="40"/>
    </row>
    <row r="33" spans="1:4" ht="15.75" x14ac:dyDescent="0.25">
      <c r="A33" s="1"/>
      <c r="B33" s="39"/>
      <c r="C33" s="40"/>
      <c r="D33" s="40"/>
    </row>
    <row r="34" spans="1:4" ht="15.75" x14ac:dyDescent="0.25">
      <c r="A34" s="1"/>
      <c r="B34" s="43" t="s">
        <v>20</v>
      </c>
      <c r="C34" s="44" t="s">
        <v>21</v>
      </c>
      <c r="D34" s="44" t="s">
        <v>22</v>
      </c>
    </row>
    <row r="35" spans="1:4" ht="15.75" x14ac:dyDescent="0.25">
      <c r="A35" s="1"/>
      <c r="B35" s="39" t="s">
        <v>23</v>
      </c>
      <c r="C35" s="45">
        <f>VLOOKUP(perfil_investidor&amp;"-"&amp;$B35,'TABELA TIPOS'!$A:$D,4,FALSE)</f>
        <v>0.3</v>
      </c>
      <c r="D35" s="40">
        <f>valor_perfil*C35</f>
        <v>168</v>
      </c>
    </row>
    <row r="36" spans="1:4" ht="15.75" x14ac:dyDescent="0.25">
      <c r="A36" s="1"/>
      <c r="B36" s="39" t="s">
        <v>24</v>
      </c>
      <c r="C36" s="45">
        <f>VLOOKUP(perfil_investidor&amp;"-"&amp;$B36,'TABELA TIPOS'!$A:$D,4,FALSE)</f>
        <v>0.4</v>
      </c>
      <c r="D36" s="40">
        <f>valor_perfil*C36</f>
        <v>224</v>
      </c>
    </row>
    <row r="37" spans="1:4" ht="15.75" x14ac:dyDescent="0.25">
      <c r="A37" s="1"/>
      <c r="B37" s="39" t="s">
        <v>25</v>
      </c>
      <c r="C37" s="45">
        <f>VLOOKUP(perfil_investidor&amp;"-"&amp;$B37,'TABELA TIPOS'!$A:$D,4,FALSE)</f>
        <v>0.1</v>
      </c>
      <c r="D37" s="40">
        <f>valor_perfil*C37</f>
        <v>56</v>
      </c>
    </row>
    <row r="38" spans="1:4" ht="15.75" x14ac:dyDescent="0.25">
      <c r="A38" s="1"/>
      <c r="B38" s="39" t="s">
        <v>26</v>
      </c>
      <c r="C38" s="45">
        <f>VLOOKUP(perfil_investidor&amp;"-"&amp;$B38,'TABELA TIPOS'!$A:$D,4,FALSE)</f>
        <v>0.05</v>
      </c>
      <c r="D38" s="40">
        <f>valor_perfil*C38</f>
        <v>28</v>
      </c>
    </row>
    <row r="39" spans="1:4" ht="15.75" x14ac:dyDescent="0.25">
      <c r="A39" s="1"/>
      <c r="B39" s="39" t="s">
        <v>27</v>
      </c>
      <c r="C39" s="45">
        <f>VLOOKUP(perfil_investidor&amp;"-"&amp;$B39,'TABELA TIPOS'!$A:$D,4,FALSE)</f>
        <v>0.15</v>
      </c>
      <c r="D39" s="40">
        <f>valor_perfil*C39</f>
        <v>84</v>
      </c>
    </row>
    <row r="40" spans="1:4" ht="15.75" x14ac:dyDescent="0.25">
      <c r="A40" s="1"/>
      <c r="B40" s="39" t="s">
        <v>28</v>
      </c>
      <c r="C40" s="45">
        <f>VLOOKUP(perfil_investidor&amp;"-"&amp;$B40,'TABELA TIPOS'!$A:$D,4,FALSE)</f>
        <v>0</v>
      </c>
      <c r="D40" s="40">
        <f>valor_perfil*C40</f>
        <v>0</v>
      </c>
    </row>
    <row r="41" spans="1:4" ht="15.75" x14ac:dyDescent="0.25">
      <c r="A41" s="1"/>
      <c r="B41" s="43"/>
      <c r="C41" s="46">
        <f>SUM(C35:C40)</f>
        <v>1</v>
      </c>
      <c r="D41" s="44">
        <f>SUM(D35:D40)</f>
        <v>560</v>
      </c>
    </row>
    <row r="42" spans="1:4" ht="15.75" x14ac:dyDescent="0.25">
      <c r="A42" s="1"/>
      <c r="B42" s="39"/>
      <c r="C42" s="40"/>
      <c r="D42" s="40"/>
    </row>
    <row r="43" spans="1:4" hidden="1" x14ac:dyDescent="0.25">
      <c r="A43" s="1">
        <v>30</v>
      </c>
    </row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ht="14.25" customHeight="1" x14ac:dyDescent="0.25"/>
  </sheetData>
  <mergeCells count="10">
    <mergeCell ref="B16:C16"/>
    <mergeCell ref="B17:C17"/>
    <mergeCell ref="B18:C18"/>
    <mergeCell ref="B19:C19"/>
    <mergeCell ref="B20:C20"/>
    <mergeCell ref="B11:C11"/>
    <mergeCell ref="B12:C12"/>
    <mergeCell ref="B13:C13"/>
    <mergeCell ref="B10:C10"/>
    <mergeCell ref="B15:C15"/>
  </mergeCells>
  <dataValidations count="1">
    <dataValidation type="list" allowBlank="1" showInputMessage="1" showErrorMessage="1" sqref="C30" xr:uid="{4DFAAD41-15A6-4375-B447-A0B96858CB63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5E85-11B3-48A0-A8EE-18004A259AC2}">
  <dimension ref="A4:H22"/>
  <sheetViews>
    <sheetView workbookViewId="0">
      <selection activeCell="G7" sqref="G7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</cols>
  <sheetData>
    <row r="4" spans="1:8" x14ac:dyDescent="0.25">
      <c r="A4" t="s">
        <v>29</v>
      </c>
      <c r="B4" t="s">
        <v>17</v>
      </c>
      <c r="C4" t="s">
        <v>20</v>
      </c>
      <c r="D4" s="49" t="s">
        <v>30</v>
      </c>
    </row>
    <row r="5" spans="1:8" x14ac:dyDescent="0.25">
      <c r="A5" t="str">
        <f>B5&amp;"-"&amp;C5</f>
        <v>CONSERVADOR-PAPEL</v>
      </c>
      <c r="B5" t="s">
        <v>31</v>
      </c>
      <c r="C5" t="s">
        <v>23</v>
      </c>
      <c r="D5" s="48">
        <v>0.25</v>
      </c>
      <c r="H5" t="s">
        <v>30</v>
      </c>
    </row>
    <row r="6" spans="1:8" x14ac:dyDescent="0.25">
      <c r="A6" t="str">
        <f t="shared" ref="A6:A8" si="0">B6&amp;"-"&amp;C6</f>
        <v>CONSERVADOR-TIJOLO</v>
      </c>
      <c r="B6" t="s">
        <v>31</v>
      </c>
      <c r="C6" t="s">
        <v>24</v>
      </c>
      <c r="D6" s="48">
        <v>0.4</v>
      </c>
      <c r="G6" s="51" t="s">
        <v>33</v>
      </c>
      <c r="H6" s="52">
        <f>VLOOKUP(G6,$A:$D,4,FALSE)</f>
        <v>0.45</v>
      </c>
    </row>
    <row r="7" spans="1:8" x14ac:dyDescent="0.25">
      <c r="A7" t="str">
        <f t="shared" si="0"/>
        <v>CONSERVADOR-HÍBRIDO</v>
      </c>
      <c r="B7" t="s">
        <v>31</v>
      </c>
      <c r="C7" t="s">
        <v>25</v>
      </c>
      <c r="D7" s="48">
        <v>0.2</v>
      </c>
    </row>
    <row r="8" spans="1:8" x14ac:dyDescent="0.25">
      <c r="A8" t="str">
        <f t="shared" si="0"/>
        <v>CONSERVADOR-FOFs</v>
      </c>
      <c r="B8" t="s">
        <v>31</v>
      </c>
      <c r="C8" t="s">
        <v>26</v>
      </c>
      <c r="D8" s="48">
        <v>0.05</v>
      </c>
    </row>
    <row r="9" spans="1:8" x14ac:dyDescent="0.25">
      <c r="A9" t="str">
        <f t="shared" ref="A6:A22" si="1">B9&amp;"-"&amp;C9</f>
        <v>CONSERVADOR-DESENVOLVIMENTO</v>
      </c>
      <c r="B9" t="s">
        <v>31</v>
      </c>
      <c r="C9" t="s">
        <v>27</v>
      </c>
      <c r="D9" s="48">
        <v>0.1</v>
      </c>
    </row>
    <row r="10" spans="1:8" ht="15.75" thickBot="1" x14ac:dyDescent="0.3">
      <c r="A10" s="47" t="str">
        <f t="shared" si="1"/>
        <v>CONSERVADOR-HOTELARIAS</v>
      </c>
      <c r="B10" s="47" t="s">
        <v>31</v>
      </c>
      <c r="C10" s="47" t="s">
        <v>28</v>
      </c>
      <c r="D10" s="50">
        <v>0</v>
      </c>
    </row>
    <row r="11" spans="1:8" x14ac:dyDescent="0.25">
      <c r="A11" t="str">
        <f t="shared" si="1"/>
        <v>MODERADO-PAPEL</v>
      </c>
      <c r="B11" t="s">
        <v>18</v>
      </c>
      <c r="C11" t="s">
        <v>23</v>
      </c>
      <c r="D11" s="48">
        <v>0.3</v>
      </c>
    </row>
    <row r="12" spans="1:8" x14ac:dyDescent="0.25">
      <c r="A12" t="str">
        <f t="shared" si="1"/>
        <v>MODERADO-TIJOLO</v>
      </c>
      <c r="B12" t="s">
        <v>18</v>
      </c>
      <c r="C12" t="s">
        <v>24</v>
      </c>
      <c r="D12" s="48">
        <v>0.4</v>
      </c>
    </row>
    <row r="13" spans="1:8" x14ac:dyDescent="0.25">
      <c r="A13" t="str">
        <f t="shared" si="1"/>
        <v>MODERADO-HÍBRIDO</v>
      </c>
      <c r="B13" t="s">
        <v>18</v>
      </c>
      <c r="C13" t="s">
        <v>25</v>
      </c>
      <c r="D13" s="48">
        <v>0.1</v>
      </c>
    </row>
    <row r="14" spans="1:8" x14ac:dyDescent="0.25">
      <c r="A14" t="str">
        <f t="shared" si="1"/>
        <v>MODERADO-FOFs</v>
      </c>
      <c r="B14" t="s">
        <v>18</v>
      </c>
      <c r="C14" t="s">
        <v>26</v>
      </c>
      <c r="D14" s="48">
        <v>0.05</v>
      </c>
    </row>
    <row r="15" spans="1:8" x14ac:dyDescent="0.25">
      <c r="A15" t="str">
        <f t="shared" si="1"/>
        <v>MODERADO-DESENVOLVIMENTO</v>
      </c>
      <c r="B15" t="s">
        <v>18</v>
      </c>
      <c r="C15" t="s">
        <v>27</v>
      </c>
      <c r="D15" s="48">
        <v>0.15</v>
      </c>
    </row>
    <row r="16" spans="1:8" ht="15.75" thickBot="1" x14ac:dyDescent="0.3">
      <c r="A16" s="47" t="str">
        <f t="shared" si="1"/>
        <v>MODERADO-HOTELARIAS</v>
      </c>
      <c r="B16" s="47" t="s">
        <v>18</v>
      </c>
      <c r="C16" s="47" t="s">
        <v>28</v>
      </c>
      <c r="D16" s="50">
        <v>0</v>
      </c>
    </row>
    <row r="17" spans="1:4" x14ac:dyDescent="0.25">
      <c r="A17" t="str">
        <f t="shared" si="1"/>
        <v>AGRESSIVO-PAPEL</v>
      </c>
      <c r="B17" t="s">
        <v>32</v>
      </c>
      <c r="C17" t="s">
        <v>23</v>
      </c>
      <c r="D17" s="48">
        <v>0.45</v>
      </c>
    </row>
    <row r="18" spans="1:4" x14ac:dyDescent="0.25">
      <c r="A18" t="str">
        <f t="shared" si="1"/>
        <v>AGRESSIVO-TIJOLO</v>
      </c>
      <c r="B18" t="s">
        <v>32</v>
      </c>
      <c r="C18" t="s">
        <v>24</v>
      </c>
      <c r="D18" s="48">
        <v>0.3</v>
      </c>
    </row>
    <row r="19" spans="1:4" x14ac:dyDescent="0.25">
      <c r="A19" t="str">
        <f t="shared" si="1"/>
        <v>AGRESSIVO-HÍBRIDO</v>
      </c>
      <c r="B19" t="s">
        <v>32</v>
      </c>
      <c r="C19" t="s">
        <v>25</v>
      </c>
      <c r="D19" s="48">
        <v>0.05</v>
      </c>
    </row>
    <row r="20" spans="1:4" x14ac:dyDescent="0.25">
      <c r="A20" t="str">
        <f t="shared" si="1"/>
        <v>AGRESSIVO-FOFs</v>
      </c>
      <c r="B20" t="s">
        <v>32</v>
      </c>
      <c r="C20" t="s">
        <v>26</v>
      </c>
      <c r="D20" s="48">
        <v>0.03</v>
      </c>
    </row>
    <row r="21" spans="1:4" x14ac:dyDescent="0.25">
      <c r="A21" t="str">
        <f t="shared" si="1"/>
        <v>AGRESSIVO-DESENVOLVIMENTO</v>
      </c>
      <c r="B21" t="s">
        <v>32</v>
      </c>
      <c r="C21" t="s">
        <v>27</v>
      </c>
      <c r="D21" s="48">
        <v>0.1</v>
      </c>
    </row>
    <row r="22" spans="1:4" ht="15.75" thickBot="1" x14ac:dyDescent="0.3">
      <c r="A22" s="47" t="str">
        <f t="shared" si="1"/>
        <v>AGRESSIVO-HOTELARIAS</v>
      </c>
      <c r="B22" s="47" t="s">
        <v>32</v>
      </c>
      <c r="C22" s="47" t="s">
        <v>28</v>
      </c>
      <c r="D22" s="50">
        <v>7.0000000000000007E-2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PLANILHA DE INVESTIMENTO</vt:lpstr>
      <vt:lpstr>TABELA TIPOS</vt:lpstr>
      <vt:lpstr>aporte</vt:lpstr>
      <vt:lpstr>invest_carteira</vt:lpstr>
      <vt:lpstr>invest_periodo</vt:lpstr>
      <vt:lpstr>patrimonio_acumulado</vt:lpstr>
      <vt:lpstr>perfil_investidor</vt:lpstr>
      <vt:lpstr>salario</vt:lpstr>
      <vt:lpstr>sug_investimento</vt:lpstr>
      <vt:lpstr>taxa_mensal</vt:lpstr>
      <vt:lpstr>valor_perfil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Amaral Santos</dc:creator>
  <cp:lastModifiedBy>Lucas Amaral Santos</cp:lastModifiedBy>
  <dcterms:created xsi:type="dcterms:W3CDTF">2026-01-15T22:29:46Z</dcterms:created>
  <dcterms:modified xsi:type="dcterms:W3CDTF">2026-01-24T17:45:21Z</dcterms:modified>
</cp:coreProperties>
</file>